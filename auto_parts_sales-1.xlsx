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 Dashboard" sheetId="2" state="visible" r:id="rId4"/>
  </sheets>
  <definedNames>
    <definedName function="false" hidden="true" localSheetId="0" name="_xlnm._FilterDatabase" vbProcedure="false">'Sales Data'!$A$1:$F$57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<sst xmlns="http://schemas.openxmlformats.org/spreadsheetml/2006/main" count="200" uniqueCount="82">
  <si>
    <t xml:space="preserve">Date</t>
  </si>
  <si>
    <t xml:space="preserve">Product</t>
  </si>
  <si>
    <t xml:space="preserve">Quantity</t>
  </si>
  <si>
    <t xml:space="preserve">Unit Price (R)</t>
  </si>
  <si>
    <t xml:space="preserve">Total Sales (R'000)</t>
  </si>
  <si>
    <t xml:space="preserve">Region</t>
  </si>
  <si>
    <t xml:space="preserve">5/6/2026</t>
  </si>
  <si>
    <t xml:space="preserve">Brake Pads</t>
  </si>
  <si>
    <t xml:space="preserve">PE</t>
  </si>
  <si>
    <t xml:space="preserve">5/7/2026</t>
  </si>
  <si>
    <t xml:space="preserve">Oil Filter</t>
  </si>
  <si>
    <t xml:space="preserve">CPT</t>
  </si>
  <si>
    <t xml:space="preserve">5/8/2026</t>
  </si>
  <si>
    <t xml:space="preserve">Air Filter</t>
  </si>
  <si>
    <t xml:space="preserve">JHB</t>
  </si>
  <si>
    <t xml:space="preserve">5/9/2026</t>
  </si>
  <si>
    <t xml:space="preserve">Spark Plug</t>
  </si>
  <si>
    <t xml:space="preserve">DBN</t>
  </si>
  <si>
    <t xml:space="preserve">5/10/2026</t>
  </si>
  <si>
    <t xml:space="preserve">Battery</t>
  </si>
  <si>
    <t xml:space="preserve">5/11/2026</t>
  </si>
  <si>
    <t xml:space="preserve">5/12/2026</t>
  </si>
  <si>
    <t xml:space="preserve">5/13/2026</t>
  </si>
  <si>
    <t xml:space="preserve">5/14/2026</t>
  </si>
  <si>
    <t xml:space="preserve">5/15/2026</t>
  </si>
  <si>
    <t xml:space="preserve">5/16/2026</t>
  </si>
  <si>
    <t xml:space="preserve">5/17/2026</t>
  </si>
  <si>
    <t xml:space="preserve">5/18/2026</t>
  </si>
  <si>
    <t xml:space="preserve">5/19/2026</t>
  </si>
  <si>
    <t xml:space="preserve">5/20/2026</t>
  </si>
  <si>
    <t xml:space="preserve">5/21/2026</t>
  </si>
  <si>
    <t xml:space="preserve">5/22/2026</t>
  </si>
  <si>
    <t xml:space="preserve">5/23/2026</t>
  </si>
  <si>
    <t xml:space="preserve">5/24/2026</t>
  </si>
  <si>
    <t xml:space="preserve">5/25/2026</t>
  </si>
  <si>
    <t xml:space="preserve">5/26/2026</t>
  </si>
  <si>
    <t xml:space="preserve">5/27/2026</t>
  </si>
  <si>
    <t xml:space="preserve">5/28/2026</t>
  </si>
  <si>
    <t xml:space="preserve">5/29/2026</t>
  </si>
  <si>
    <t xml:space="preserve">5/30/2026</t>
  </si>
  <si>
    <t xml:space="preserve">5/31/2026</t>
  </si>
  <si>
    <t xml:space="preserve">6/1/2026</t>
  </si>
  <si>
    <t xml:space="preserve">6/2/2026</t>
  </si>
  <si>
    <t xml:space="preserve">6/3/2026</t>
  </si>
  <si>
    <t xml:space="preserve">6/4/2026</t>
  </si>
  <si>
    <t xml:space="preserve">6/5/2026</t>
  </si>
  <si>
    <t xml:space="preserve">6/6/2026</t>
  </si>
  <si>
    <t xml:space="preserve">6/7/2026</t>
  </si>
  <si>
    <t xml:space="preserve">6/8/2026</t>
  </si>
  <si>
    <t xml:space="preserve">6/9/2026</t>
  </si>
  <si>
    <t xml:space="preserve">6/10/2026</t>
  </si>
  <si>
    <t xml:space="preserve">6/11/2026</t>
  </si>
  <si>
    <t xml:space="preserve">6/12/2026</t>
  </si>
  <si>
    <t xml:space="preserve">6/13/2026</t>
  </si>
  <si>
    <t xml:space="preserve">6/14/2026</t>
  </si>
  <si>
    <t xml:space="preserve">6/15/2026</t>
  </si>
  <si>
    <t xml:space="preserve">6/16/2026</t>
  </si>
  <si>
    <t xml:space="preserve">6/17/2026</t>
  </si>
  <si>
    <t xml:space="preserve">6/18/2026</t>
  </si>
  <si>
    <t xml:space="preserve">6/19/2026</t>
  </si>
  <si>
    <t xml:space="preserve">6/20/2026</t>
  </si>
  <si>
    <t xml:space="preserve">6/21/2026</t>
  </si>
  <si>
    <t xml:space="preserve">6/22/2026</t>
  </si>
  <si>
    <t xml:space="preserve">6/23/2026</t>
  </si>
  <si>
    <t xml:space="preserve">6/24/2026</t>
  </si>
  <si>
    <t xml:space="preserve">6/25/2026</t>
  </si>
  <si>
    <t xml:space="preserve">6/26/2026</t>
  </si>
  <si>
    <t xml:space="preserve">6/27/2026</t>
  </si>
  <si>
    <t xml:space="preserve">6/28/2026</t>
  </si>
  <si>
    <t xml:space="preserve">6/29/2026</t>
  </si>
  <si>
    <t xml:space="preserve">6/30/2026</t>
  </si>
  <si>
    <t xml:space="preserve">Auto Parts Sales Dashboard  |  May – June 2026</t>
  </si>
  <si>
    <t xml:space="preserve">Total Records</t>
  </si>
  <si>
    <t xml:space="preserve">Total Qty Sold</t>
  </si>
  <si>
    <t xml:space="preserve">Avg Unit Price (R)</t>
  </si>
  <si>
    <t xml:space="preserve">Best Product</t>
  </si>
  <si>
    <t xml:space="preserve">Top Region</t>
  </si>
  <si>
    <t xml:space="preserve">Sales by Product (R'000)</t>
  </si>
  <si>
    <t xml:space="preserve">Sales by Region (R'000)</t>
  </si>
  <si>
    <t xml:space="preserve">Total Sales</t>
  </si>
  <si>
    <t xml:space="preserve">Total Qty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</si>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</sst>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0D7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 diagonalUp="false" diagonalDown="false"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0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BF0FA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 (R'000)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Dashboard'!$A$8:$A$12</c:f>
              <c:strCache>
                <c:ptCount val="5"/>
                <c:pt idx="0">
                  <c:v>Air Filter</c:v>
                </c:pt>
                <c:pt idx="1">
                  <c:v>Battery</c:v>
                </c:pt>
                <c:pt idx="2">
                  <c:v>Brake Pads</c:v>
                </c:pt>
                <c:pt idx="3">
                  <c:v>Oil Filter</c:v>
                </c:pt>
                <c:pt idx="4">
                  <c:v>Spark Plug</c:v>
                </c:pt>
              </c:strCache>
            </c:strRef>
          </c:cat>
          <c:val>
            <c:numRef>
              <c:f>'Summary Dashboard'!$B$8:$B$12</c:f>
              <c:numCache>
                <c:formatCode>#,##0</c:formatCode>
                <c:ptCount val="5"/>
                <c:pt idx="0">
                  <c:v>149</c:v>
                </c:pt>
                <c:pt idx="1">
                  <c:v>347</c:v>
                </c:pt>
                <c:pt idx="2">
                  <c:v>184</c:v>
                </c:pt>
                <c:pt idx="3">
                  <c:v>88</c:v>
                </c:pt>
                <c:pt idx="4">
                  <c:v>84</c:v>
                </c:pt>
              </c:numCache>
            </c:numRef>
          </c:val>
        </c:ser>
        <c:gapWidth val="150"/>
        <c:overlap val="0"/>
        <c:axId val="2218717"/>
        <c:axId val="44074233"/>
      </c:barChart>
      <c:catAx>
        <c:axId val="2218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74233"/>
        <c:crosses val="autoZero"/>
        <c:auto val="1"/>
        <c:lblAlgn val="ctr"/>
        <c:lblOffset val="100"/>
        <c:noMultiLvlLbl val="0"/>
      </c:catAx>
      <c:valAx>
        <c:axId val="440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(R'000)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8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 (R'000)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Dashboard'!F7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Dashboard'!$E$8:$E$11</c:f>
              <c:strCache>
                <c:ptCount val="4"/>
                <c:pt idx="0">
                  <c:v>CPT</c:v>
                </c:pt>
                <c:pt idx="1">
                  <c:v>DBN</c:v>
                </c:pt>
                <c:pt idx="2">
                  <c:v>JHB</c:v>
                </c:pt>
                <c:pt idx="3">
                  <c:v>PE</c:v>
                </c:pt>
              </c:strCache>
            </c:strRef>
          </c:cat>
          <c:val>
            <c:numRef>
              <c:f>'Summary Dashboard'!$F$8:$F$11</c:f>
              <c:numCache>
                <c:formatCode>#,##0</c:formatCode>
                <c:ptCount val="4"/>
                <c:pt idx="0">
                  <c:v>218</c:v>
                </c:pt>
                <c:pt idx="1">
                  <c:v>130</c:v>
                </c:pt>
                <c:pt idx="2">
                  <c:v>207</c:v>
                </c:pt>
                <c:pt idx="3">
                  <c:v>297</c:v>
                </c:pt>
              </c:numCache>
            </c:numRef>
          </c:val>
        </c:ser>
        <c:gapWidth val="150"/>
        <c:overlap val="0"/>
        <c:axId val="52654153"/>
        <c:axId val="65726570"/>
      </c:barChart>
      <c:catAx>
        <c:axId val="52654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26570"/>
        <c:crosses val="autoZero"/>
        <c:auto val="1"/>
        <c:lblAlgn val="ctr"/>
        <c:lblOffset val="100"/>
        <c:noMultiLvlLbl val="0"/>
      </c:catAx>
      <c:valAx>
        <c:axId val="65726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(R'000)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54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3</xdr:col>
      <xdr:colOff>1233360</xdr:colOff>
      <xdr:row>32</xdr:row>
      <xdr:rowOff>170640</xdr:rowOff>
    </xdr:to>
    <xdr:graphicFrame>
      <xdr:nvGraphicFramePr>
        <xdr:cNvPr id="0" name="Chart 1"/>
        <xdr:cNvGraphicFramePr/>
      </xdr:nvGraphicFramePr>
      <xdr:xfrm>
        <a:off x="0" y="3067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10</xdr:col>
      <xdr:colOff>56160</xdr:colOff>
      <xdr:row>32</xdr:row>
      <xdr:rowOff>170640</xdr:rowOff>
    </xdr:to>
    <xdr:graphicFrame>
      <xdr:nvGraphicFramePr>
        <xdr:cNvPr id="1" name="Chart 2"/>
        <xdr:cNvGraphicFramePr/>
      </xdr:nvGraphicFramePr>
      <xdr:xfrm>
        <a:off x="5074920" y="3067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n">
        <v>38</v>
      </c>
      <c r="D2" s="2" t="n">
        <v>350</v>
      </c>
      <c r="E2" s="2" t="n">
        <v>13</v>
      </c>
      <c r="F2" s="2" t="s">
        <v>8</v>
      </c>
    </row>
    <row r="3" customFormat="false" ht="15" hidden="false" customHeight="false" outlineLevel="0" collapsed="false">
      <c r="A3" s="4" t="s">
        <v>9</v>
      </c>
      <c r="B3" s="5" t="s">
        <v>10</v>
      </c>
      <c r="C3" s="4" t="n">
        <v>65</v>
      </c>
      <c r="D3" s="4" t="n">
        <v>120</v>
      </c>
      <c r="E3" s="4" t="n">
        <v>7</v>
      </c>
      <c r="F3" s="4" t="s">
        <v>11</v>
      </c>
    </row>
    <row r="4" customFormat="false" ht="15" hidden="false" customHeight="false" outlineLevel="0" collapsed="false">
      <c r="A4" s="2" t="s">
        <v>12</v>
      </c>
      <c r="B4" s="3" t="s">
        <v>13</v>
      </c>
      <c r="C4" s="2" t="n">
        <v>41</v>
      </c>
      <c r="D4" s="2" t="n">
        <v>250</v>
      </c>
      <c r="E4" s="2" t="n">
        <v>10</v>
      </c>
      <c r="F4" s="2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4" t="n">
        <v>90</v>
      </c>
      <c r="D5" s="4" t="n">
        <v>80</v>
      </c>
      <c r="E5" s="4" t="n">
        <v>7</v>
      </c>
      <c r="F5" s="4" t="s">
        <v>17</v>
      </c>
    </row>
    <row r="6" customFormat="false" ht="15" hidden="false" customHeight="false" outlineLevel="0" collapsed="false">
      <c r="A6" s="2" t="s">
        <v>18</v>
      </c>
      <c r="B6" s="3" t="s">
        <v>19</v>
      </c>
      <c r="C6" s="2" t="n">
        <v>22</v>
      </c>
      <c r="D6" s="2" t="n">
        <v>1450</v>
      </c>
      <c r="E6" s="2" t="n">
        <v>31</v>
      </c>
      <c r="F6" s="2" t="s">
        <v>8</v>
      </c>
    </row>
    <row r="7" customFormat="false" ht="15" hidden="false" customHeight="false" outlineLevel="0" collapsed="false">
      <c r="A7" s="4" t="s">
        <v>20</v>
      </c>
      <c r="B7" s="5" t="s">
        <v>7</v>
      </c>
      <c r="C7" s="4" t="n">
        <v>47</v>
      </c>
      <c r="D7" s="4" t="n">
        <v>350</v>
      </c>
      <c r="E7" s="4" t="n">
        <v>16</v>
      </c>
      <c r="F7" s="4" t="s">
        <v>11</v>
      </c>
    </row>
    <row r="8" customFormat="false" ht="15" hidden="false" customHeight="false" outlineLevel="0" collapsed="false">
      <c r="A8" s="2" t="s">
        <v>21</v>
      </c>
      <c r="B8" s="3" t="s">
        <v>10</v>
      </c>
      <c r="C8" s="2" t="n">
        <v>58</v>
      </c>
      <c r="D8" s="2" t="n">
        <v>120</v>
      </c>
      <c r="E8" s="2" t="n">
        <v>6</v>
      </c>
      <c r="F8" s="2" t="s">
        <v>14</v>
      </c>
    </row>
    <row r="9" customFormat="false" ht="15" hidden="false" customHeight="false" outlineLevel="0" collapsed="false">
      <c r="A9" s="4" t="s">
        <v>22</v>
      </c>
      <c r="B9" s="5" t="s">
        <v>13</v>
      </c>
      <c r="C9" s="4" t="n">
        <v>63</v>
      </c>
      <c r="D9" s="4" t="n">
        <v>250</v>
      </c>
      <c r="E9" s="4" t="n">
        <v>15</v>
      </c>
      <c r="F9" s="4" t="s">
        <v>8</v>
      </c>
    </row>
    <row r="10" customFormat="false" ht="15" hidden="false" customHeight="false" outlineLevel="0" collapsed="false">
      <c r="A10" s="2" t="s">
        <v>23</v>
      </c>
      <c r="B10" s="3" t="s">
        <v>16</v>
      </c>
      <c r="C10" s="2" t="n">
        <v>110</v>
      </c>
      <c r="D10" s="2" t="n">
        <v>80</v>
      </c>
      <c r="E10" s="2" t="n">
        <v>8</v>
      </c>
      <c r="F10" s="2" t="s">
        <v>11</v>
      </c>
    </row>
    <row r="11" customFormat="false" ht="15" hidden="false" customHeight="false" outlineLevel="0" collapsed="false">
      <c r="A11" s="4" t="s">
        <v>24</v>
      </c>
      <c r="B11" s="5" t="s">
        <v>19</v>
      </c>
      <c r="C11" s="4" t="n">
        <v>18</v>
      </c>
      <c r="D11" s="4" t="n">
        <v>1450</v>
      </c>
      <c r="E11" s="4" t="n">
        <v>26</v>
      </c>
      <c r="F11" s="4" t="s">
        <v>14</v>
      </c>
    </row>
    <row r="12" customFormat="false" ht="15" hidden="false" customHeight="false" outlineLevel="0" collapsed="false">
      <c r="A12" s="2" t="s">
        <v>25</v>
      </c>
      <c r="B12" s="3" t="s">
        <v>7</v>
      </c>
      <c r="C12" s="2" t="n">
        <v>52</v>
      </c>
      <c r="D12" s="2" t="n">
        <v>350</v>
      </c>
      <c r="E12" s="2" t="n">
        <v>18</v>
      </c>
      <c r="F12" s="2" t="s">
        <v>17</v>
      </c>
    </row>
    <row r="13" customFormat="false" ht="15" hidden="false" customHeight="false" outlineLevel="0" collapsed="false">
      <c r="A13" s="4" t="s">
        <v>26</v>
      </c>
      <c r="B13" s="5" t="s">
        <v>10</v>
      </c>
      <c r="C13" s="4" t="n">
        <v>71</v>
      </c>
      <c r="D13" s="4" t="n">
        <v>120</v>
      </c>
      <c r="E13" s="4" t="n">
        <v>8</v>
      </c>
      <c r="F13" s="4" t="s">
        <v>8</v>
      </c>
    </row>
    <row r="14" customFormat="false" ht="15" hidden="false" customHeight="false" outlineLevel="0" collapsed="false">
      <c r="A14" s="2" t="s">
        <v>27</v>
      </c>
      <c r="B14" s="3" t="s">
        <v>13</v>
      </c>
      <c r="C14" s="2" t="n">
        <v>49</v>
      </c>
      <c r="D14" s="2" t="n">
        <v>250</v>
      </c>
      <c r="E14" s="2" t="n">
        <v>12</v>
      </c>
      <c r="F14" s="2" t="s">
        <v>11</v>
      </c>
    </row>
    <row r="15" customFormat="false" ht="15" hidden="false" customHeight="false" outlineLevel="0" collapsed="false">
      <c r="A15" s="4" t="s">
        <v>28</v>
      </c>
      <c r="B15" s="5" t="s">
        <v>16</v>
      </c>
      <c r="C15" s="4" t="n">
        <v>95</v>
      </c>
      <c r="D15" s="4" t="n">
        <v>80</v>
      </c>
      <c r="E15" s="4" t="n">
        <v>7</v>
      </c>
      <c r="F15" s="4" t="s">
        <v>14</v>
      </c>
    </row>
    <row r="16" customFormat="false" ht="15" hidden="false" customHeight="false" outlineLevel="0" collapsed="false">
      <c r="A16" s="2" t="s">
        <v>29</v>
      </c>
      <c r="B16" s="3" t="s">
        <v>19</v>
      </c>
      <c r="C16" s="2" t="n">
        <v>25</v>
      </c>
      <c r="D16" s="2" t="n">
        <v>1450</v>
      </c>
      <c r="E16" s="2" t="n">
        <v>36</v>
      </c>
      <c r="F16" s="2" t="s">
        <v>8</v>
      </c>
    </row>
    <row r="17" customFormat="false" ht="15" hidden="false" customHeight="false" outlineLevel="0" collapsed="false">
      <c r="A17" s="4" t="s">
        <v>30</v>
      </c>
      <c r="B17" s="5" t="s">
        <v>7</v>
      </c>
      <c r="C17" s="4" t="n">
        <v>43</v>
      </c>
      <c r="D17" s="4" t="n">
        <v>350</v>
      </c>
      <c r="E17" s="4" t="n">
        <v>15</v>
      </c>
      <c r="F17" s="4" t="s">
        <v>11</v>
      </c>
    </row>
    <row r="18" customFormat="false" ht="15" hidden="false" customHeight="false" outlineLevel="0" collapsed="false">
      <c r="A18" s="2" t="s">
        <v>31</v>
      </c>
      <c r="B18" s="3" t="s">
        <v>10</v>
      </c>
      <c r="C18" s="2" t="n">
        <v>82</v>
      </c>
      <c r="D18" s="2" t="n">
        <v>120</v>
      </c>
      <c r="E18" s="2" t="n">
        <v>9</v>
      </c>
      <c r="F18" s="2" t="s">
        <v>17</v>
      </c>
    </row>
    <row r="19" customFormat="false" ht="15" hidden="false" customHeight="false" outlineLevel="0" collapsed="false">
      <c r="A19" s="4" t="s">
        <v>32</v>
      </c>
      <c r="B19" s="5" t="s">
        <v>13</v>
      </c>
      <c r="C19" s="4" t="n">
        <v>54</v>
      </c>
      <c r="D19" s="4" t="n">
        <v>250</v>
      </c>
      <c r="E19" s="4" t="n">
        <v>13</v>
      </c>
      <c r="F19" s="4" t="s">
        <v>14</v>
      </c>
    </row>
    <row r="20" customFormat="false" ht="15" hidden="false" customHeight="false" outlineLevel="0" collapsed="false">
      <c r="A20" s="2" t="s">
        <v>33</v>
      </c>
      <c r="B20" s="3" t="s">
        <v>16</v>
      </c>
      <c r="C20" s="2" t="n">
        <v>88</v>
      </c>
      <c r="D20" s="2" t="n">
        <v>80</v>
      </c>
      <c r="E20" s="2" t="n">
        <v>7</v>
      </c>
      <c r="F20" s="2" t="s">
        <v>8</v>
      </c>
    </row>
    <row r="21" customFormat="false" ht="15" hidden="false" customHeight="false" outlineLevel="0" collapsed="false">
      <c r="A21" s="4" t="s">
        <v>34</v>
      </c>
      <c r="B21" s="5" t="s">
        <v>19</v>
      </c>
      <c r="C21" s="4" t="n">
        <v>20</v>
      </c>
      <c r="D21" s="4" t="n">
        <v>1450</v>
      </c>
      <c r="E21" s="4" t="n">
        <v>29</v>
      </c>
      <c r="F21" s="4" t="s">
        <v>11</v>
      </c>
    </row>
    <row r="22" customFormat="false" ht="15" hidden="false" customHeight="false" outlineLevel="0" collapsed="false">
      <c r="A22" s="2" t="s">
        <v>35</v>
      </c>
      <c r="B22" s="3" t="s">
        <v>7</v>
      </c>
      <c r="C22" s="2" t="n">
        <v>39</v>
      </c>
      <c r="D22" s="2" t="n">
        <v>350</v>
      </c>
      <c r="E22" s="2" t="n">
        <v>13</v>
      </c>
      <c r="F22" s="2" t="s">
        <v>14</v>
      </c>
    </row>
    <row r="23" customFormat="false" ht="15" hidden="false" customHeight="false" outlineLevel="0" collapsed="false">
      <c r="A23" s="4" t="s">
        <v>36</v>
      </c>
      <c r="B23" s="5" t="s">
        <v>10</v>
      </c>
      <c r="C23" s="4" t="n">
        <v>76</v>
      </c>
      <c r="D23" s="4" t="n">
        <v>120</v>
      </c>
      <c r="E23" s="4" t="n">
        <v>9</v>
      </c>
      <c r="F23" s="4" t="s">
        <v>8</v>
      </c>
    </row>
    <row r="24" customFormat="false" ht="15" hidden="false" customHeight="false" outlineLevel="0" collapsed="false">
      <c r="A24" s="2" t="s">
        <v>37</v>
      </c>
      <c r="B24" s="3" t="s">
        <v>13</v>
      </c>
      <c r="C24" s="2" t="n">
        <v>61</v>
      </c>
      <c r="D24" s="2" t="n">
        <v>250</v>
      </c>
      <c r="E24" s="2" t="n">
        <v>15</v>
      </c>
      <c r="F24" s="2" t="s">
        <v>17</v>
      </c>
    </row>
    <row r="25" customFormat="false" ht="15" hidden="false" customHeight="false" outlineLevel="0" collapsed="false">
      <c r="A25" s="4" t="s">
        <v>38</v>
      </c>
      <c r="B25" s="5" t="s">
        <v>16</v>
      </c>
      <c r="C25" s="4" t="n">
        <v>102</v>
      </c>
      <c r="D25" s="4" t="n">
        <v>80</v>
      </c>
      <c r="E25" s="4" t="n">
        <v>8</v>
      </c>
      <c r="F25" s="4" t="s">
        <v>11</v>
      </c>
    </row>
    <row r="26" customFormat="false" ht="15" hidden="false" customHeight="false" outlineLevel="0" collapsed="false">
      <c r="A26" s="2" t="s">
        <v>39</v>
      </c>
      <c r="B26" s="3" t="s">
        <v>19</v>
      </c>
      <c r="C26" s="2" t="n">
        <v>24</v>
      </c>
      <c r="D26" s="2" t="n">
        <v>1450</v>
      </c>
      <c r="E26" s="2" t="n">
        <v>34</v>
      </c>
      <c r="F26" s="2" t="s">
        <v>14</v>
      </c>
    </row>
    <row r="27" customFormat="false" ht="15" hidden="false" customHeight="false" outlineLevel="0" collapsed="false">
      <c r="A27" s="4" t="s">
        <v>40</v>
      </c>
      <c r="B27" s="5" t="s">
        <v>7</v>
      </c>
      <c r="C27" s="4" t="n">
        <v>50</v>
      </c>
      <c r="D27" s="4" t="n">
        <v>350</v>
      </c>
      <c r="E27" s="4" t="n">
        <v>17</v>
      </c>
      <c r="F27" s="4" t="s">
        <v>8</v>
      </c>
    </row>
    <row r="28" customFormat="false" ht="15" hidden="false" customHeight="false" outlineLevel="0" collapsed="false">
      <c r="A28" s="2" t="s">
        <v>41</v>
      </c>
      <c r="B28" s="3" t="s">
        <v>10</v>
      </c>
      <c r="C28" s="2" t="n">
        <v>69</v>
      </c>
      <c r="D28" s="2" t="n">
        <v>120</v>
      </c>
      <c r="E28" s="2" t="n">
        <v>8</v>
      </c>
      <c r="F28" s="2" t="s">
        <v>11</v>
      </c>
    </row>
    <row r="29" customFormat="false" ht="15" hidden="false" customHeight="false" outlineLevel="0" collapsed="false">
      <c r="A29" s="4" t="s">
        <v>42</v>
      </c>
      <c r="B29" s="5" t="s">
        <v>13</v>
      </c>
      <c r="C29" s="4" t="n">
        <v>46</v>
      </c>
      <c r="D29" s="4" t="n">
        <v>250</v>
      </c>
      <c r="E29" s="4" t="n">
        <v>11</v>
      </c>
      <c r="F29" s="4" t="s">
        <v>14</v>
      </c>
    </row>
    <row r="30" customFormat="false" ht="15" hidden="false" customHeight="false" outlineLevel="0" collapsed="false">
      <c r="A30" s="2" t="s">
        <v>43</v>
      </c>
      <c r="B30" s="3" t="s">
        <v>16</v>
      </c>
      <c r="C30" s="2" t="n">
        <v>97</v>
      </c>
      <c r="D30" s="2" t="n">
        <v>80</v>
      </c>
      <c r="E30" s="2" t="n">
        <v>7</v>
      </c>
      <c r="F30" s="2" t="s">
        <v>17</v>
      </c>
    </row>
    <row r="31" customFormat="false" ht="15" hidden="false" customHeight="false" outlineLevel="0" collapsed="false">
      <c r="A31" s="4" t="s">
        <v>44</v>
      </c>
      <c r="B31" s="5" t="s">
        <v>19</v>
      </c>
      <c r="C31" s="4" t="n">
        <v>19</v>
      </c>
      <c r="D31" s="4" t="n">
        <v>1450</v>
      </c>
      <c r="E31" s="4" t="n">
        <v>27</v>
      </c>
      <c r="F31" s="4" t="s">
        <v>8</v>
      </c>
    </row>
    <row r="32" customFormat="false" ht="15" hidden="false" customHeight="false" outlineLevel="0" collapsed="false">
      <c r="A32" s="2" t="s">
        <v>45</v>
      </c>
      <c r="B32" s="3" t="s">
        <v>7</v>
      </c>
      <c r="C32" s="2" t="n">
        <v>44</v>
      </c>
      <c r="D32" s="2" t="n">
        <v>350</v>
      </c>
      <c r="E32" s="2" t="n">
        <v>15</v>
      </c>
      <c r="F32" s="2" t="s">
        <v>11</v>
      </c>
    </row>
    <row r="33" customFormat="false" ht="15" hidden="false" customHeight="false" outlineLevel="0" collapsed="false">
      <c r="A33" s="4" t="s">
        <v>46</v>
      </c>
      <c r="B33" s="5" t="s">
        <v>10</v>
      </c>
      <c r="C33" s="4" t="n">
        <v>80</v>
      </c>
      <c r="D33" s="4" t="n">
        <v>120</v>
      </c>
      <c r="E33" s="4" t="n">
        <v>9</v>
      </c>
      <c r="F33" s="4" t="s">
        <v>14</v>
      </c>
    </row>
    <row r="34" customFormat="false" ht="15" hidden="false" customHeight="false" outlineLevel="0" collapsed="false">
      <c r="A34" s="2" t="s">
        <v>47</v>
      </c>
      <c r="B34" s="3" t="s">
        <v>13</v>
      </c>
      <c r="C34" s="2" t="n">
        <v>59</v>
      </c>
      <c r="D34" s="2" t="n">
        <v>250</v>
      </c>
      <c r="E34" s="2" t="n">
        <v>14</v>
      </c>
      <c r="F34" s="2" t="s">
        <v>8</v>
      </c>
    </row>
    <row r="35" customFormat="false" ht="15" hidden="false" customHeight="false" outlineLevel="0" collapsed="false">
      <c r="A35" s="4" t="s">
        <v>48</v>
      </c>
      <c r="B35" s="5" t="s">
        <v>16</v>
      </c>
      <c r="C35" s="4" t="n">
        <v>105</v>
      </c>
      <c r="D35" s="4" t="n">
        <v>80</v>
      </c>
      <c r="E35" s="4" t="n">
        <v>8</v>
      </c>
      <c r="F35" s="4" t="s">
        <v>11</v>
      </c>
    </row>
    <row r="36" customFormat="false" ht="15" hidden="false" customHeight="false" outlineLevel="0" collapsed="false">
      <c r="A36" s="2" t="s">
        <v>49</v>
      </c>
      <c r="B36" s="3" t="s">
        <v>19</v>
      </c>
      <c r="C36" s="2" t="n">
        <v>23</v>
      </c>
      <c r="D36" s="2" t="n">
        <v>1450</v>
      </c>
      <c r="E36" s="2" t="n">
        <v>33</v>
      </c>
      <c r="F36" s="2" t="s">
        <v>17</v>
      </c>
    </row>
    <row r="37" customFormat="false" ht="15" hidden="false" customHeight="false" outlineLevel="0" collapsed="false">
      <c r="A37" s="4" t="s">
        <v>50</v>
      </c>
      <c r="B37" s="5" t="s">
        <v>7</v>
      </c>
      <c r="C37" s="4" t="n">
        <v>36</v>
      </c>
      <c r="D37" s="4" t="n">
        <v>350</v>
      </c>
      <c r="E37" s="4" t="n">
        <v>12</v>
      </c>
      <c r="F37" s="4" t="s">
        <v>14</v>
      </c>
    </row>
    <row r="38" customFormat="false" ht="15" hidden="false" customHeight="false" outlineLevel="0" collapsed="false">
      <c r="A38" s="2" t="s">
        <v>51</v>
      </c>
      <c r="B38" s="3" t="s">
        <v>10</v>
      </c>
      <c r="C38" s="2" t="n">
        <v>74</v>
      </c>
      <c r="D38" s="2" t="n">
        <v>120</v>
      </c>
      <c r="E38" s="2" t="n">
        <v>8</v>
      </c>
      <c r="F38" s="2" t="s">
        <v>8</v>
      </c>
    </row>
    <row r="39" customFormat="false" ht="15" hidden="false" customHeight="false" outlineLevel="0" collapsed="false">
      <c r="A39" s="4" t="s">
        <v>52</v>
      </c>
      <c r="B39" s="5" t="s">
        <v>13</v>
      </c>
      <c r="C39" s="4" t="n">
        <v>67</v>
      </c>
      <c r="D39" s="4" t="n">
        <v>250</v>
      </c>
      <c r="E39" s="4" t="n">
        <v>16</v>
      </c>
      <c r="F39" s="4" t="s">
        <v>11</v>
      </c>
    </row>
    <row r="40" customFormat="false" ht="15" hidden="false" customHeight="false" outlineLevel="0" collapsed="false">
      <c r="A40" s="2" t="s">
        <v>53</v>
      </c>
      <c r="B40" s="3" t="s">
        <v>16</v>
      </c>
      <c r="C40" s="2" t="n">
        <v>92</v>
      </c>
      <c r="D40" s="2" t="n">
        <v>80</v>
      </c>
      <c r="E40" s="2" t="n">
        <v>7</v>
      </c>
      <c r="F40" s="2" t="s">
        <v>14</v>
      </c>
    </row>
    <row r="41" customFormat="false" ht="15" hidden="false" customHeight="false" outlineLevel="0" collapsed="false">
      <c r="A41" s="4" t="s">
        <v>54</v>
      </c>
      <c r="B41" s="5" t="s">
        <v>19</v>
      </c>
      <c r="C41" s="4" t="n">
        <v>21</v>
      </c>
      <c r="D41" s="4" t="n">
        <v>1450</v>
      </c>
      <c r="E41" s="4" t="n">
        <v>30</v>
      </c>
      <c r="F41" s="4" t="s">
        <v>8</v>
      </c>
    </row>
    <row r="42" customFormat="false" ht="15" hidden="false" customHeight="false" outlineLevel="0" collapsed="false">
      <c r="A42" s="2" t="s">
        <v>55</v>
      </c>
      <c r="B42" s="3" t="s">
        <v>7</v>
      </c>
      <c r="C42" s="2" t="n">
        <v>48</v>
      </c>
      <c r="D42" s="2" t="n">
        <v>350</v>
      </c>
      <c r="E42" s="2" t="n">
        <v>16</v>
      </c>
      <c r="F42" s="2" t="s">
        <v>17</v>
      </c>
    </row>
    <row r="43" customFormat="false" ht="15" hidden="false" customHeight="false" outlineLevel="0" collapsed="false">
      <c r="A43" s="4" t="s">
        <v>56</v>
      </c>
      <c r="B43" s="5" t="s">
        <v>10</v>
      </c>
      <c r="C43" s="4" t="n">
        <v>66</v>
      </c>
      <c r="D43" s="4" t="n">
        <v>120</v>
      </c>
      <c r="E43" s="4" t="n">
        <v>7</v>
      </c>
      <c r="F43" s="4" t="s">
        <v>11</v>
      </c>
    </row>
    <row r="44" customFormat="false" ht="15" hidden="false" customHeight="false" outlineLevel="0" collapsed="false">
      <c r="A44" s="2" t="s">
        <v>57</v>
      </c>
      <c r="B44" s="3" t="s">
        <v>13</v>
      </c>
      <c r="C44" s="2" t="n">
        <v>53</v>
      </c>
      <c r="D44" s="2" t="n">
        <v>250</v>
      </c>
      <c r="E44" s="2" t="n">
        <v>13</v>
      </c>
      <c r="F44" s="2" t="s">
        <v>14</v>
      </c>
    </row>
    <row r="45" customFormat="false" ht="15" hidden="false" customHeight="false" outlineLevel="0" collapsed="false">
      <c r="A45" s="4" t="s">
        <v>58</v>
      </c>
      <c r="B45" s="5" t="s">
        <v>16</v>
      </c>
      <c r="C45" s="4" t="n">
        <v>115</v>
      </c>
      <c r="D45" s="4" t="n">
        <v>80</v>
      </c>
      <c r="E45" s="4" t="n">
        <v>9</v>
      </c>
      <c r="F45" s="4" t="s">
        <v>8</v>
      </c>
    </row>
    <row r="46" customFormat="false" ht="15" hidden="false" customHeight="false" outlineLevel="0" collapsed="false">
      <c r="A46" s="2" t="s">
        <v>59</v>
      </c>
      <c r="B46" s="3" t="s">
        <v>19</v>
      </c>
      <c r="C46" s="2" t="n">
        <v>26</v>
      </c>
      <c r="D46" s="2" t="n">
        <v>1450</v>
      </c>
      <c r="E46" s="2" t="n">
        <v>37</v>
      </c>
      <c r="F46" s="2" t="s">
        <v>11</v>
      </c>
    </row>
    <row r="47" customFormat="false" ht="15" hidden="false" customHeight="false" outlineLevel="0" collapsed="false">
      <c r="A47" s="4" t="s">
        <v>60</v>
      </c>
      <c r="B47" s="5" t="s">
        <v>7</v>
      </c>
      <c r="C47" s="4" t="n">
        <v>42</v>
      </c>
      <c r="D47" s="4" t="n">
        <v>350</v>
      </c>
      <c r="E47" s="4" t="n">
        <v>14</v>
      </c>
      <c r="F47" s="4" t="s">
        <v>14</v>
      </c>
    </row>
    <row r="48" customFormat="false" ht="15" hidden="false" customHeight="false" outlineLevel="0" collapsed="false">
      <c r="A48" s="2" t="s">
        <v>61</v>
      </c>
      <c r="B48" s="3" t="s">
        <v>10</v>
      </c>
      <c r="C48" s="2" t="n">
        <v>79</v>
      </c>
      <c r="D48" s="2" t="n">
        <v>120</v>
      </c>
      <c r="E48" s="2" t="n">
        <v>9</v>
      </c>
      <c r="F48" s="2" t="s">
        <v>17</v>
      </c>
    </row>
    <row r="49" customFormat="false" ht="15" hidden="false" customHeight="false" outlineLevel="0" collapsed="false">
      <c r="A49" s="4" t="s">
        <v>62</v>
      </c>
      <c r="B49" s="5" t="s">
        <v>13</v>
      </c>
      <c r="C49" s="4" t="n">
        <v>57</v>
      </c>
      <c r="D49" s="4" t="n">
        <v>250</v>
      </c>
      <c r="E49" s="4" t="n">
        <v>14</v>
      </c>
      <c r="F49" s="4" t="s">
        <v>8</v>
      </c>
    </row>
    <row r="50" customFormat="false" ht="15" hidden="false" customHeight="false" outlineLevel="0" collapsed="false">
      <c r="A50" s="2" t="s">
        <v>63</v>
      </c>
      <c r="B50" s="3" t="s">
        <v>16</v>
      </c>
      <c r="C50" s="2" t="n">
        <v>100</v>
      </c>
      <c r="D50" s="2" t="n">
        <v>80</v>
      </c>
      <c r="E50" s="2" t="n">
        <v>8</v>
      </c>
      <c r="F50" s="2" t="s">
        <v>11</v>
      </c>
    </row>
    <row r="51" customFormat="false" ht="15" hidden="false" customHeight="false" outlineLevel="0" collapsed="false">
      <c r="A51" s="4" t="s">
        <v>64</v>
      </c>
      <c r="B51" s="5" t="s">
        <v>19</v>
      </c>
      <c r="C51" s="4" t="n">
        <v>17</v>
      </c>
      <c r="D51" s="4" t="n">
        <v>1450</v>
      </c>
      <c r="E51" s="4" t="n">
        <v>24</v>
      </c>
      <c r="F51" s="4" t="s">
        <v>14</v>
      </c>
    </row>
    <row r="52" customFormat="false" ht="15" hidden="false" customHeight="false" outlineLevel="0" collapsed="false">
      <c r="A52" s="2" t="s">
        <v>65</v>
      </c>
      <c r="B52" s="3" t="s">
        <v>7</v>
      </c>
      <c r="C52" s="2" t="n">
        <v>55</v>
      </c>
      <c r="D52" s="2" t="n">
        <v>350</v>
      </c>
      <c r="E52" s="2" t="n">
        <v>19</v>
      </c>
      <c r="F52" s="2" t="s">
        <v>8</v>
      </c>
    </row>
    <row r="53" customFormat="false" ht="15" hidden="false" customHeight="false" outlineLevel="0" collapsed="false">
      <c r="A53" s="4" t="s">
        <v>66</v>
      </c>
      <c r="B53" s="5" t="s">
        <v>10</v>
      </c>
      <c r="C53" s="4" t="n">
        <v>72</v>
      </c>
      <c r="D53" s="4" t="n">
        <v>120</v>
      </c>
      <c r="E53" s="4" t="n">
        <v>8</v>
      </c>
      <c r="F53" s="4" t="s">
        <v>11</v>
      </c>
    </row>
    <row r="54" customFormat="false" ht="15" hidden="false" customHeight="false" outlineLevel="0" collapsed="false">
      <c r="A54" s="2" t="s">
        <v>67</v>
      </c>
      <c r="B54" s="3" t="s">
        <v>13</v>
      </c>
      <c r="C54" s="2" t="n">
        <v>64</v>
      </c>
      <c r="D54" s="2" t="n">
        <v>250</v>
      </c>
      <c r="E54" s="2" t="n">
        <v>16</v>
      </c>
      <c r="F54" s="2" t="s">
        <v>17</v>
      </c>
    </row>
    <row r="55" customFormat="false" ht="15" hidden="false" customHeight="false" outlineLevel="0" collapsed="false">
      <c r="A55" s="4" t="s">
        <v>68</v>
      </c>
      <c r="B55" s="5" t="s">
        <v>16</v>
      </c>
      <c r="C55" s="4" t="n">
        <v>108</v>
      </c>
      <c r="D55" s="4" t="n">
        <v>80</v>
      </c>
      <c r="E55" s="4" t="n">
        <v>8</v>
      </c>
      <c r="F55" s="4" t="s">
        <v>14</v>
      </c>
    </row>
    <row r="56" customFormat="false" ht="15" hidden="false" customHeight="false" outlineLevel="0" collapsed="false">
      <c r="A56" s="2" t="s">
        <v>69</v>
      </c>
      <c r="B56" s="3" t="s">
        <v>19</v>
      </c>
      <c r="C56" s="2" t="n">
        <v>28</v>
      </c>
      <c r="D56" s="2" t="n">
        <v>1450</v>
      </c>
      <c r="E56" s="2" t="n">
        <v>40</v>
      </c>
      <c r="F56" s="2" t="s">
        <v>8</v>
      </c>
    </row>
    <row r="57" customFormat="false" ht="15" hidden="false" customHeight="false" outlineLevel="0" collapsed="false">
      <c r="A57" s="4" t="s">
        <v>70</v>
      </c>
      <c r="B57" s="5" t="s">
        <v>7</v>
      </c>
      <c r="C57" s="4" t="n">
        <v>46</v>
      </c>
      <c r="D57" s="4" t="n">
        <v>350</v>
      </c>
      <c r="E57" s="4" t="n">
        <v>16</v>
      </c>
      <c r="F57" s="4" t="s">
        <v>11</v>
      </c>
    </row>
  </sheetData>
  <autoFilter ref="A1:F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6" t="s">
        <v>71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18" hidden="false" customHeight="true" outlineLevel="0" collapsed="false">
      <c r="A3" s="8" t="s">
        <v>72</v>
      </c>
      <c r="B3" s="8" t="s">
        <v>73</v>
      </c>
      <c r="C3" s="8" t="s">
        <v>4</v>
      </c>
      <c r="D3" s="8" t="s">
        <v>74</v>
      </c>
      <c r="E3" s="8" t="s">
        <v>75</v>
      </c>
      <c r="F3" s="8" t="s">
        <v>76</v>
      </c>
    </row>
    <row r="4" customFormat="false" ht="27.75" hidden="false" customHeight="true" outlineLevel="0" collapsed="false">
      <c r="A4" s="9" t="n">
        <f aca="false">COUNTA('Sales Data'!A2:A57)</f>
        <v>56</v>
      </c>
      <c r="B4" s="9" t="n">
        <f aca="false">SUM('Sales Data'!C2:C57)</f>
        <v>3291</v>
      </c>
      <c r="C4" s="9" t="n">
        <f aca="false">SUM('Sales Data'!E2:E57)</f>
        <v>852</v>
      </c>
      <c r="D4" s="10" t="n">
        <f aca="false">AVERAGE('Sales Data'!D2:D57)</f>
        <v>448.214285714286</v>
      </c>
      <c r="E4" s="11" t="str">
        <f aca="false">INDEX('Sales Data'!B2:B57,MATCH(MAX(SUMIF('Sales Data'!B2:B57,'Sales Data'!B2:B57,'Sales Data'!E2:E57)),SUMIF('Sales Data'!B2:B57,'Sales Data'!B2:B57,'Sales Data'!E2:E57),0))</f>
        <v>Air Filter</v>
      </c>
      <c r="F4" s="11" t="str">
        <f aca="false">INDEX('Sales Data'!F2:F57,MATCH(MAX(SUMIF('Sales Data'!F2:F57,'Sales Data'!F2:F57,'Sales Data'!E2:E57)),SUMIF('Sales Data'!F2:F57,'Sales Data'!F2:F57,'Sales Data'!E2:E57),0))</f>
        <v>JHB</v>
      </c>
    </row>
    <row r="6" customFormat="false" ht="18" hidden="false" customHeight="true" outlineLevel="0" collapsed="false">
      <c r="A6" s="12" t="s">
        <v>77</v>
      </c>
      <c r="B6" s="12"/>
      <c r="C6" s="12"/>
      <c r="E6" s="12" t="s">
        <v>78</v>
      </c>
      <c r="F6" s="12"/>
      <c r="G6" s="12"/>
    </row>
    <row r="7" customFormat="false" ht="15" hidden="false" customHeight="false" outlineLevel="0" collapsed="false">
      <c r="A7" s="13" t="s">
        <v>1</v>
      </c>
      <c r="B7" s="13" t="s">
        <v>79</v>
      </c>
      <c r="C7" s="13" t="s">
        <v>80</v>
      </c>
      <c r="E7" s="13" t="s">
        <v>5</v>
      </c>
      <c r="F7" s="13" t="s">
        <v>79</v>
      </c>
      <c r="G7" s="13" t="s">
        <v>80</v>
      </c>
    </row>
    <row r="8" customFormat="false" ht="15" hidden="false" customHeight="false" outlineLevel="0" collapsed="false">
      <c r="A8" s="3" t="s">
        <v>13</v>
      </c>
      <c r="B8" s="14" t="n">
        <f aca="false">SUMIF('Sales Data'!B:B,A8,'Sales Data'!E:E)</f>
        <v>149</v>
      </c>
      <c r="C8" s="14" t="n">
        <f aca="false">SUMIF('Sales Data'!B:B,A8,'Sales Data'!C:C)</f>
        <v>614</v>
      </c>
      <c r="E8" s="2" t="s">
        <v>11</v>
      </c>
      <c r="F8" s="14" t="n">
        <f aca="false">SUMIF('Sales Data'!F:F,E8,'Sales Data'!E:E)</f>
        <v>218</v>
      </c>
      <c r="G8" s="14" t="n">
        <f aca="false">SUMIF('Sales Data'!F:F,E8,'Sales Data'!C:C)</f>
        <v>1031</v>
      </c>
    </row>
    <row r="9" customFormat="false" ht="15" hidden="false" customHeight="false" outlineLevel="0" collapsed="false">
      <c r="A9" s="5" t="s">
        <v>19</v>
      </c>
      <c r="B9" s="15" t="n">
        <f aca="false">SUMIF('Sales Data'!B:B,A9,'Sales Data'!E:E)</f>
        <v>347</v>
      </c>
      <c r="C9" s="15" t="n">
        <f aca="false">SUMIF('Sales Data'!B:B,A9,'Sales Data'!C:C)</f>
        <v>243</v>
      </c>
      <c r="E9" s="4" t="s">
        <v>17</v>
      </c>
      <c r="F9" s="15" t="n">
        <f aca="false">SUMIF('Sales Data'!F:F,E9,'Sales Data'!E:E)</f>
        <v>130</v>
      </c>
      <c r="G9" s="15" t="n">
        <f aca="false">SUMIF('Sales Data'!F:F,E9,'Sales Data'!C:C)</f>
        <v>596</v>
      </c>
    </row>
    <row r="10" customFormat="false" ht="15" hidden="false" customHeight="false" outlineLevel="0" collapsed="false">
      <c r="A10" s="3" t="s">
        <v>7</v>
      </c>
      <c r="B10" s="14" t="n">
        <f aca="false">SUMIF('Sales Data'!B:B,A10,'Sales Data'!E:E)</f>
        <v>184</v>
      </c>
      <c r="C10" s="14" t="n">
        <f aca="false">SUMIF('Sales Data'!B:B,A10,'Sales Data'!C:C)</f>
        <v>540</v>
      </c>
      <c r="E10" s="2" t="s">
        <v>14</v>
      </c>
      <c r="F10" s="14" t="n">
        <f aca="false">SUMIF('Sales Data'!F:F,E10,'Sales Data'!E:E)</f>
        <v>207</v>
      </c>
      <c r="G10" s="14" t="n">
        <f aca="false">SUMIF('Sales Data'!F:F,E10,'Sales Data'!C:C)</f>
        <v>803</v>
      </c>
    </row>
    <row r="11" customFormat="false" ht="15" hidden="false" customHeight="false" outlineLevel="0" collapsed="false">
      <c r="A11" s="5" t="s">
        <v>10</v>
      </c>
      <c r="B11" s="15" t="n">
        <f aca="false">SUMIF('Sales Data'!B:B,A11,'Sales Data'!E:E)</f>
        <v>88</v>
      </c>
      <c r="C11" s="15" t="n">
        <f aca="false">SUMIF('Sales Data'!B:B,A11,'Sales Data'!C:C)</f>
        <v>792</v>
      </c>
      <c r="E11" s="4" t="s">
        <v>8</v>
      </c>
      <c r="F11" s="15" t="n">
        <f aca="false">SUMIF('Sales Data'!F:F,E11,'Sales Data'!E:E)</f>
        <v>297</v>
      </c>
      <c r="G11" s="15" t="n">
        <f aca="false">SUMIF('Sales Data'!F:F,E11,'Sales Data'!C:C)</f>
        <v>861</v>
      </c>
    </row>
    <row r="12" customFormat="false" ht="15" hidden="false" customHeight="false" outlineLevel="0" collapsed="false">
      <c r="A12" s="3" t="s">
        <v>16</v>
      </c>
      <c r="B12" s="14" t="n">
        <f aca="false">SUMIF('Sales Data'!B:B,A12,'Sales Data'!E:E)</f>
        <v>84</v>
      </c>
      <c r="C12" s="14" t="n">
        <f aca="false">SUMIF('Sales Data'!B:B,A12,'Sales Data'!C:C)</f>
        <v>1102</v>
      </c>
      <c r="E12" s="16" t="s">
        <v>81</v>
      </c>
      <c r="F12" s="17" t="n">
        <f aca="false">SUM(F8:F11)</f>
        <v>852</v>
      </c>
      <c r="G12" s="17" t="n">
        <f aca="false">SUM(G8:G11)</f>
        <v>3291</v>
      </c>
    </row>
    <row r="13" customFormat="false" ht="15" hidden="false" customHeight="false" outlineLevel="0" collapsed="false">
      <c r="A13" s="18" t="s">
        <v>81</v>
      </c>
      <c r="B13" s="17" t="n">
        <f aca="false">SUM(B8:B12)</f>
        <v>852</v>
      </c>
      <c r="C13" s="17" t="n">
        <f aca="false">SUM(C8:C12)</f>
        <v>3291</v>
      </c>
    </row>
  </sheetData>
  <mergeCells count="4">
    <mergeCell ref="A1:H1"/>
    <mergeCell ref="A2:H2"/>
    <mergeCell ref="A6:C6"/>
    <mergeCell ref="E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2026-05-27T15:55:33Z</dcterms:created>
  <dc:creator>openpyxl</dc:creator>
  <dc:description/>
  <dc:language>en-US</dc:language>
  <cp:lastModifiedBy/>
  <dcterms:modified xsi:type="dcterms:W3CDTF">2026-05-27T15:55:40Z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